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Intelligence vs Cost" sheetId="2" state="visible" r:id="rId2"/>
    <sheet xmlns:r="http://schemas.openxmlformats.org/officeDocument/2006/relationships" name="2. Energy per Query" sheetId="3" state="visible" r:id="rId3"/>
    <sheet xmlns:r="http://schemas.openxmlformats.org/officeDocument/2006/relationships" name="3. Energy per Token" sheetId="4" state="visible" r:id="rId4"/>
    <sheet xmlns:r="http://schemas.openxmlformats.org/officeDocument/2006/relationships" name="4. DC Capacity - Baseline" sheetId="5" state="visible" r:id="rId5"/>
    <sheet xmlns:r="http://schemas.openxmlformats.org/officeDocument/2006/relationships" name="5. Open-Shift Scenario" sheetId="6" state="visible" r:id="rId6"/>
    <sheet xmlns:r="http://schemas.openxmlformats.org/officeDocument/2006/relationships" name="6. Sources" sheetId="7" state="visible" r:id="rId7"/>
    <sheet xmlns:r="http://schemas.openxmlformats.org/officeDocument/2006/relationships" name="7. Assumptions &amp; Method" sheetId="8" state="visible" r:id="rId8"/>
    <sheet xmlns:r="http://schemas.openxmlformats.org/officeDocument/2006/relationships" name="8. Chart visu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0.00"/>
    <numFmt numFmtId="165" formatCode="0.0"/>
    <numFmt numFmtId="166" formatCode="0.0&quot; GW&quot;"/>
    <numFmt numFmtId="167" formatCode="+0%;-0%"/>
    <numFmt numFmtId="168" formatCode="0.00&quot;x&quot;"/>
  </numFmts>
  <fonts count="20">
    <font>
      <name val="Calibri"/>
      <family val="2"/>
      <color theme="1"/>
      <sz val="11"/>
      <scheme val="minor"/>
    </font>
    <font>
      <name val="Calibri"/>
      <b val="1"/>
      <color rgb="00104281"/>
      <sz val="16"/>
    </font>
    <font>
      <name val="Calibri"/>
      <i val="1"/>
      <color rgb="0052514E"/>
      <sz val="10"/>
    </font>
    <font>
      <name val="Calibri"/>
      <b val="1"/>
      <color rgb="000B0B0B"/>
      <sz val="10"/>
    </font>
    <font>
      <name val="Calibri"/>
      <color rgb="000B0B0B"/>
      <sz val="10"/>
    </font>
    <font>
      <name val="Calibri"/>
      <b val="1"/>
      <color rgb="00104281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2A78D6"/>
      <sz val="10"/>
    </font>
    <font>
      <name val="Calibri"/>
      <b val="1"/>
      <color rgb="00008300"/>
      <sz val="10"/>
    </font>
    <font>
      <name val="Calibri"/>
      <i val="1"/>
      <color rgb="0052514E"/>
      <sz val="9"/>
    </font>
    <font>
      <name val="Calibri"/>
      <b val="1"/>
      <color rgb="00008300"/>
      <sz val="9"/>
    </font>
    <font>
      <name val="Calibri"/>
      <color rgb="001155CC"/>
      <sz val="9"/>
    </font>
    <font>
      <name val="Calibri"/>
      <b val="1"/>
      <color rgb="00EB6834"/>
      <sz val="9"/>
    </font>
    <font>
      <name val="Calibri"/>
      <b val="1"/>
      <color rgb="00104281"/>
      <sz val="10"/>
    </font>
    <font>
      <name val="Calibri"/>
      <i val="1"/>
      <color rgb="00EB6834"/>
      <sz val="9"/>
    </font>
    <font>
      <name val="Calibri"/>
      <b val="1"/>
      <color rgb="000B0B0B"/>
      <sz val="11"/>
    </font>
    <font>
      <name val="Calibri"/>
      <b val="1"/>
      <color rgb="0052514E"/>
      <sz val="9"/>
    </font>
    <font>
      <name val="Calibri"/>
      <color rgb="000B0B0B"/>
      <sz val="9"/>
    </font>
    <font>
      <name val="Calibri"/>
      <b val="1"/>
      <color rgb="00104281"/>
      <sz val="11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5F3E5"/>
      </patternFill>
    </fill>
    <fill>
      <patternFill patternType="solid">
        <fgColor rgb="00FDF0D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CC"/>
      </left>
      <right style="thin">
        <color rgb="00D0D0CC"/>
      </right>
      <top style="thin">
        <color rgb="00D0D0CC"/>
      </top>
      <bottom style="thin">
        <color rgb="00D0D0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16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2" fontId="16" fillId="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7" fontId="18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Intelligence (AAII v4.1) vs Cost ($/task)</a:t>
            </a:r>
          </a:p>
        </rich>
      </tx>
    </title>
    <plotArea>
      <scatterChart>
        <ser>
          <idx val="0"/>
          <order val="0"/>
          <tx>
            <v>Models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'1. Intelligence vs Cost'!$D$5:$D$12</f>
            </numRef>
          </xVal>
          <yVal>
            <numRef>
              <f>'1. Intelligence vs Cost'!$C$5:$C$12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per task (US$)  — cheaper is left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Intelligence (AAII v4.1)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Electricity per query (Wh)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Energy per Query'!B4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Energy per Query'!$A$5:$A$9</f>
            </numRef>
          </cat>
          <val>
            <numRef>
              <f>'2. Energy per Query'!$B$5:$B$9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 AI inference power by share shifted to open (GW)</a:t>
            </a:r>
          </a:p>
        </rich>
      </tx>
    </title>
    <plotArea>
      <barChart>
        <barDir val="col"/>
        <grouping val="clustered"/>
        <ser>
          <idx val="0"/>
          <order val="0"/>
          <tx>
            <v>A: cloud open</v>
          </tx>
          <spPr>
            <a:ln xmlns:a="http://schemas.openxmlformats.org/drawingml/2006/main">
              <a:prstDash val="solid"/>
            </a:ln>
          </spPr>
          <cat>
            <numRef>
              <f>'5. Open-Shift Scenario'!$A$16:$A$20</f>
            </numRef>
          </cat>
          <val>
            <numRef>
              <f>'5. Open-Shift Scenario'!$B$16:$B$20</f>
            </numRef>
          </val>
        </ser>
        <ser>
          <idx val="1"/>
          <order val="1"/>
          <tx>
            <v>B: self-hosted</v>
          </tx>
          <spPr>
            <a:ln xmlns:a="http://schemas.openxmlformats.org/drawingml/2006/main">
              <a:prstDash val="solid"/>
            </a:ln>
          </spPr>
          <cat>
            <numRef>
              <f>'5. Open-Shift Scenario'!$A$16:$A$20</f>
            </numRef>
          </cat>
          <val>
            <numRef>
              <f>'5. Open-Shift Scenario'!$D$16:$D$20</f>
            </numRef>
          </val>
        </ser>
        <ser>
          <idx val="2"/>
          <order val="2"/>
          <tx>
            <v>C: self+Jevons</v>
          </tx>
          <spPr>
            <a:ln xmlns:a="http://schemas.openxmlformats.org/drawingml/2006/main">
              <a:prstDash val="solid"/>
            </a:ln>
          </spPr>
          <cat>
            <numRef>
              <f>'5. Open-Shift Scenario'!$A$16:$A$20</f>
            </numRef>
          </cat>
          <val>
            <numRef>
              <f>'5. Open-Shift Scenario'!$F$16:$F$20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2047220" cy="67795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3936980" cy="6779514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2212574" cy="6188964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2212574" cy="6543294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loud.google.com/blog/products/infrastructure/measuring-the-environmental-impact-of-ai-inference" TargetMode="External" Id="rId1"/><Relationship Type="http://schemas.openxmlformats.org/officeDocument/2006/relationships/hyperlink" Target="https://arxiv.org/abs/2508.15734" TargetMode="External" Id="rId2"/><Relationship Type="http://schemas.openxmlformats.org/officeDocument/2006/relationships/hyperlink" Target="https://blog.samaltman.com/the-gentle-singularity" TargetMode="External" Id="rId3"/><Relationship Type="http://schemas.openxmlformats.org/officeDocument/2006/relationships/hyperlink" Target="https://epoch.ai/gradient-updates/how-much-energy-does-chatgpt-use" TargetMode="External" Id="rId4"/><Relationship Type="http://schemas.openxmlformats.org/officeDocument/2006/relationships/hyperlink" Target="https://epoch.ai/gradient-updates/how-much-energy-does-chatgpt-use" TargetMode="External" Id="rId5"/><Relationship Type="http://schemas.openxmlformats.org/officeDocument/2006/relationships/drawing" Target="/xl/drawings/drawing2.xm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aclanthology.org/2025.acl-long.1563.pdf" TargetMode="External" Id="rId1"/><Relationship Type="http://schemas.openxmlformats.org/officeDocument/2006/relationships/hyperlink" Target="https://arxiv.org/html/2505.06371v1" TargetMode="External" Id="rId2"/><Relationship Type="http://schemas.openxmlformats.org/officeDocument/2006/relationships/hyperlink" Target="https://arxiv.org/pdf/2508.16700" TargetMode="External" Id="rId3"/><Relationship Type="http://schemas.openxmlformats.org/officeDocument/2006/relationships/hyperlink" Target="https://arxiv.org/pdf/2508.16700" TargetMode="External" Id="rId4"/><Relationship Type="http://schemas.openxmlformats.org/officeDocument/2006/relationships/hyperlink" Target="https://arxiv.org/abs/2401.04088" TargetMode="External" Id="rId5"/><Relationship Type="http://schemas.openxmlformats.org/officeDocument/2006/relationships/hyperlink" Target="https://arxiv.org/html/2512.03024v1" TargetMode="External" Id="rId6"/><Relationship Type="http://schemas.openxmlformats.org/officeDocument/2006/relationships/hyperlink" Target="https://arxiv.org/html/2512.03024v1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epoch.ai/blog/power-demands-of-frontier-ai-training" TargetMode="External" Id="rId1"/><Relationship Type="http://schemas.openxmlformats.org/officeDocument/2006/relationships/hyperlink" Target="https://epoch.ai/blog/power-demands-of-frontier-ai-training" TargetMode="External" Id="rId2"/><Relationship Type="http://schemas.openxmlformats.org/officeDocument/2006/relationships/hyperlink" Target="https://epoch.ai/blog/power-demands-of-frontier-ai-training" TargetMode="External" Id="rId3"/><Relationship Type="http://schemas.openxmlformats.org/officeDocument/2006/relationships/hyperlink" Target="https://epoch.ai/blog/power-demands-of-frontier-ai-training" TargetMode="External" Id="rId4"/><Relationship Type="http://schemas.openxmlformats.org/officeDocument/2006/relationships/hyperlink" Target="https://www.iea.org/reports/energy-and-ai/energy-demand-from-ai" TargetMode="External" Id="rId5"/><Relationship Type="http://schemas.openxmlformats.org/officeDocument/2006/relationships/hyperlink" Target="https://www.iea.org/reports/energy-and-ai/energy-demand-from-ai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cloud.google.com/blog/products/infrastructure/measuring-the-environmental-impact-of-ai-inference" TargetMode="External" Id="rId1"/><Relationship Type="http://schemas.openxmlformats.org/officeDocument/2006/relationships/hyperlink" Target="https://arxiv.org/abs/2508.15734" TargetMode="External" Id="rId2"/><Relationship Type="http://schemas.openxmlformats.org/officeDocument/2006/relationships/hyperlink" Target="https://blog.samaltman.com/the-gentle-singularity" TargetMode="External" Id="rId3"/><Relationship Type="http://schemas.openxmlformats.org/officeDocument/2006/relationships/hyperlink" Target="https://epoch.ai/gradient-updates/how-much-energy-does-chatgpt-use" TargetMode="External" Id="rId4"/><Relationship Type="http://schemas.openxmlformats.org/officeDocument/2006/relationships/hyperlink" Target="https://epoch.ai/blog/power-demands-of-frontier-ai-training" TargetMode="External" Id="rId5"/><Relationship Type="http://schemas.openxmlformats.org/officeDocument/2006/relationships/hyperlink" Target="https://arxiv.org/html/2505.06371v1" TargetMode="External" Id="rId6"/><Relationship Type="http://schemas.openxmlformats.org/officeDocument/2006/relationships/hyperlink" Target="https://arxiv.org/pdf/2508.16700" TargetMode="External" Id="rId7"/><Relationship Type="http://schemas.openxmlformats.org/officeDocument/2006/relationships/hyperlink" Target="https://arxiv.org/html/2512.03024v1" TargetMode="External" Id="rId8"/><Relationship Type="http://schemas.openxmlformats.org/officeDocument/2006/relationships/hyperlink" Target="https://aclanthology.org/2025.acl-long.1563.pdf" TargetMode="External" Id="rId9"/><Relationship Type="http://schemas.openxmlformats.org/officeDocument/2006/relationships/hyperlink" Target="https://arxiv.org/abs/2401.04088" TargetMode="External" Id="rId10"/><Relationship Type="http://schemas.openxmlformats.org/officeDocument/2006/relationships/hyperlink" Target="https://www.datacenterdynamics.com/en/news/google-median-gemini-prompt-uses-024-watt-hours-of-power-and-consumes-026ml-of-water/" TargetMode="External" Id="rId11"/><Relationship Type="http://schemas.openxmlformats.org/officeDocument/2006/relationships/hyperlink" Target="https://hannahritchie.substack.com/p/ai-footprint-august-2025" TargetMode="External" Id="rId12"/><Relationship Type="http://schemas.openxmlformats.org/officeDocument/2006/relationships/hyperlink" Target="https://www.iea.org/reports/energy-and-ai/energy-demand-from-ai" TargetMode="External" Id="rId13"/><Relationship Type="http://schemas.openxmlformats.org/officeDocument/2006/relationships/hyperlink" Target="https://artificialanalysis.ai/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8" customHeight="1">
      <c r="A1" s="1" t="inlineStr">
        <is>
          <t>AI Models: Cost vs Intelligence vs Energy — Data Pack</t>
        </is>
      </c>
    </row>
    <row r="2" ht="16" customHeight="1">
      <c r="A2" s="2" t="inlineStr">
        <is>
          <t>Built 2026-07-19 for a slide comparing token cost &amp; intelligence, and the DC-capacity implications of a shift to open-weight models.</t>
        </is>
      </c>
    </row>
    <row r="3">
      <c r="A3" s="3" t="inlineStr"/>
      <c r="C3" s="4" t="inlineStr"/>
    </row>
    <row r="4">
      <c r="A4" s="5" t="inlineStr">
        <is>
          <t>HOW TO READ THIS WORKBOOK</t>
        </is>
      </c>
      <c r="C4" s="6" t="inlineStr"/>
    </row>
    <row r="5">
      <c r="A5" s="7" t="inlineStr">
        <is>
          <t>Tab</t>
        </is>
      </c>
      <c r="C5" s="8" t="inlineStr">
        <is>
          <t>What's in it</t>
        </is>
      </c>
    </row>
    <row r="6">
      <c r="A6" s="3" t="inlineStr">
        <is>
          <t>1. Intelligence vs Cost</t>
        </is>
      </c>
      <c r="C6" s="4" t="inlineStr">
        <is>
          <t>Your Artificial Analysis v4.1 table + computed intelligence-per-dollar. Scatter chart. (SOURCE = your table; not independently re-verified — see note on tab.)</t>
        </is>
      </c>
    </row>
    <row r="7">
      <c r="A7" s="3" t="inlineStr">
        <is>
          <t>2. Energy per Query</t>
        </is>
      </c>
      <c r="C7" s="4" t="inlineStr">
        <is>
          <t>Verified per-query electricity figures (Google, OpenAI, Epoch). Every row cites a primary source.</t>
        </is>
      </c>
    </row>
    <row r="8">
      <c r="A8" s="3" t="inlineStr">
        <is>
          <t>3. Energy per Token</t>
        </is>
      </c>
      <c r="C8" s="4" t="inlineStr">
        <is>
          <t>Per-token energy + open-weight vs frontier efficiency benchmarks (measured on GPU meters).</t>
        </is>
      </c>
    </row>
    <row r="9">
      <c r="A9" s="3" t="inlineStr">
        <is>
          <t>4. DC Capacity — Baseline</t>
        </is>
      </c>
      <c r="C9" s="4" t="inlineStr">
        <is>
          <t>Current &amp; projected AI data-center power (GW / TWh), US and global.</t>
        </is>
      </c>
    </row>
    <row r="10">
      <c r="A10" s="3" t="inlineStr">
        <is>
          <t>5. Open-Shift Scenario</t>
        </is>
      </c>
      <c r="C10" s="4" t="inlineStr">
        <is>
          <t>Parametric model: what happens to aggregate DC power if inference shifts to open-weight models. LIVE formulas — change the yellow cells.</t>
        </is>
      </c>
    </row>
    <row r="11">
      <c r="A11" s="3" t="inlineStr">
        <is>
          <t>6. Sources</t>
        </is>
      </c>
      <c r="C11" s="4" t="inlineStr">
        <is>
          <t>Every URL, publisher, date, quality rating, and verification status.</t>
        </is>
      </c>
    </row>
    <row r="12">
      <c r="A12" s="3" t="inlineStr">
        <is>
          <t>7. Assumptions &amp; Method</t>
        </is>
      </c>
      <c r="C12" s="4" t="inlineStr">
        <is>
          <t>Every assumption and formula written out in plain English.</t>
        </is>
      </c>
    </row>
    <row r="13">
      <c r="A13" s="3" t="inlineStr"/>
      <c r="C13" s="4" t="inlineStr"/>
    </row>
    <row r="14">
      <c r="A14" s="5" t="inlineStr">
        <is>
          <t>COLOUR / FLAG LEGEND</t>
        </is>
      </c>
      <c r="C14" s="6" t="inlineStr"/>
    </row>
    <row r="15">
      <c r="A15" s="3" t="inlineStr">
        <is>
          <t>Yellow cell</t>
        </is>
      </c>
      <c r="C15" s="4" t="inlineStr">
        <is>
          <t>Adjustable input / assumption — change it and dependent formulas update.</t>
        </is>
      </c>
    </row>
    <row r="16">
      <c r="A16" s="3" t="inlineStr">
        <is>
          <t>MEASURED</t>
        </is>
      </c>
      <c r="C16" s="4" t="inlineStr">
        <is>
          <t>Directly measured (e.g. GPU power meters, production telemetry).</t>
        </is>
      </c>
    </row>
    <row r="17">
      <c r="A17" s="3" t="inlineStr">
        <is>
          <t>ESTIMATE</t>
        </is>
      </c>
      <c r="C17" s="4" t="inlineStr">
        <is>
          <t>Modeled or self-reported estimate — treat as indicative, not audited.</t>
        </is>
      </c>
    </row>
    <row r="18">
      <c r="A18" s="3" t="inlineStr"/>
      <c r="C18" s="4" t="inlineStr"/>
    </row>
    <row r="19">
      <c r="A19" s="5" t="inlineStr">
        <is>
          <t>TOP-LINE CAVEATS</t>
        </is>
      </c>
      <c r="C19" s="6" t="inlineStr"/>
    </row>
    <row r="20">
      <c r="A20" s="3" t="inlineStr">
        <is>
          <t>1</t>
        </is>
      </c>
      <c r="C20" s="4" t="inlineStr">
        <is>
          <t>Per-query energy is falling fast (Google cut its median-prompt energy 33x in one year), so absolute Wh numbers date quickly.</t>
        </is>
      </c>
    </row>
    <row r="21">
      <c r="A21" s="3" t="inlineStr">
        <is>
          <t>2</t>
        </is>
      </c>
      <c r="C21" s="4" t="inlineStr">
        <is>
          <t>Google's 0.24 Wh and OpenAI's 0.34 Wh are vendor self-reported and EXCLUDE model-training energy.</t>
        </is>
      </c>
    </row>
    <row r="22">
      <c r="A22" s="3" t="inlineStr">
        <is>
          <t>3</t>
        </is>
      </c>
      <c r="C22" s="4" t="inlineStr">
        <is>
          <t>MoE / open-weight energy advantages were measured on single GPUs; real-world gaps at hyperscaler batch sizes are unproven.</t>
        </is>
      </c>
    </row>
    <row r="23">
      <c r="A23" s="3" t="inlineStr">
        <is>
          <t>4</t>
        </is>
      </c>
      <c r="C23" s="4" t="inlineStr">
        <is>
          <t>The Artificial Analysis Intelligence Index scores in tab 1 could NOT be machine-verified in this pass (site not crawlable). Confirm against artificialanalysis.ai.</t>
        </is>
      </c>
    </row>
    <row r="24">
      <c r="A24" s="3" t="inlineStr">
        <is>
          <t>5</t>
        </is>
      </c>
      <c r="C24" s="4" t="inlineStr">
        <is>
          <t>The open-shift scenario (tab 5) is an ILLUSTRATIVE parametric model, not a forecast. Its job is to show which levers decide the direction.</t>
        </is>
      </c>
    </row>
  </sheetData>
  <mergeCells count="24">
    <mergeCell ref="C10:H10"/>
    <mergeCell ref="C16:H16"/>
    <mergeCell ref="C22:H22"/>
    <mergeCell ref="C9:H9"/>
    <mergeCell ref="A1:H1"/>
    <mergeCell ref="C12:H12"/>
    <mergeCell ref="C21:H21"/>
    <mergeCell ref="C11:H11"/>
    <mergeCell ref="C23:H23"/>
    <mergeCell ref="C8:H8"/>
    <mergeCell ref="C17:H17"/>
    <mergeCell ref="C7:H7"/>
    <mergeCell ref="C19:H19"/>
    <mergeCell ref="C13:H13"/>
    <mergeCell ref="A2:H2"/>
    <mergeCell ref="C18:H18"/>
    <mergeCell ref="C3:H3"/>
    <mergeCell ref="C15:H15"/>
    <mergeCell ref="C6:H6"/>
    <mergeCell ref="C24:H24"/>
    <mergeCell ref="C14:H14"/>
    <mergeCell ref="C5:H5"/>
    <mergeCell ref="C4:H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5" customWidth="1" min="4" max="4"/>
    <col width="15" customWidth="1" min="5" max="5"/>
    <col width="22" customWidth="1" min="6" max="6"/>
  </cols>
  <sheetData>
    <row r="1" ht="28" customHeight="1">
      <c r="A1" s="1" t="inlineStr">
        <is>
          <t>Intelligence vs Cost per Task</t>
        </is>
      </c>
    </row>
    <row r="2" ht="16" customHeight="1">
      <c r="A2" s="2" t="inlineStr">
        <is>
          <t>Source: your Artificial Analysis Intelligence Index v4.1 table. NOT independently re-verified (see README caveat 4). Intelligence-per-$ is computed live.</t>
        </is>
      </c>
    </row>
    <row r="4" ht="22" customHeight="1">
      <c r="A4" s="9" t="inlineStr">
        <is>
          <t>Model</t>
        </is>
      </c>
      <c r="B4" s="9" t="inlineStr">
        <is>
          <t>Type</t>
        </is>
      </c>
      <c r="C4" s="9" t="inlineStr">
        <is>
          <t>AAII v4.1</t>
        </is>
      </c>
      <c r="D4" s="9" t="inlineStr">
        <is>
          <t>$ / task</t>
        </is>
      </c>
      <c r="E4" s="9" t="inlineStr">
        <is>
          <t>Released</t>
        </is>
      </c>
      <c r="F4" s="9" t="inlineStr">
        <is>
          <t>Intelligence per $ (=C/D)</t>
        </is>
      </c>
    </row>
    <row r="5">
      <c r="A5" s="10" t="inlineStr">
        <is>
          <t>Claude Fable 5 (max)</t>
        </is>
      </c>
      <c r="B5" s="11" t="inlineStr">
        <is>
          <t>Closed frontier</t>
        </is>
      </c>
      <c r="C5" s="12" t="n">
        <v>60</v>
      </c>
      <c r="D5" s="13" t="n">
        <v>2.75</v>
      </c>
      <c r="E5" s="12" t="inlineStr">
        <is>
          <t>Jun 2026</t>
        </is>
      </c>
      <c r="F5" s="14">
        <f>C5/D5</f>
        <v/>
      </c>
    </row>
    <row r="6">
      <c r="A6" s="10" t="inlineStr">
        <is>
          <t>GPT-5.6 Sol (max)</t>
        </is>
      </c>
      <c r="B6" s="11" t="inlineStr">
        <is>
          <t>Closed frontier</t>
        </is>
      </c>
      <c r="C6" s="12" t="n">
        <v>59</v>
      </c>
      <c r="D6" s="13" t="n">
        <v>1.04</v>
      </c>
      <c r="E6" s="12" t="inlineStr">
        <is>
          <t>9 Jul 2026</t>
        </is>
      </c>
      <c r="F6" s="14">
        <f>C6/D6</f>
        <v/>
      </c>
    </row>
    <row r="7">
      <c r="A7" s="10" t="inlineStr">
        <is>
          <t>Kimi K3 (open weights, 2.8T)</t>
        </is>
      </c>
      <c r="B7" s="15" t="inlineStr">
        <is>
          <t>Open weights</t>
        </is>
      </c>
      <c r="C7" s="12" t="n">
        <v>57</v>
      </c>
      <c r="D7" s="13" t="n">
        <v>0.9399999999999999</v>
      </c>
      <c r="E7" s="12" t="inlineStr">
        <is>
          <t>16 Jul 2026</t>
        </is>
      </c>
      <c r="F7" s="14">
        <f>C7/D7</f>
        <v/>
      </c>
    </row>
    <row r="8">
      <c r="A8" s="10" t="inlineStr">
        <is>
          <t>GPT-5.6 Terra (max)</t>
        </is>
      </c>
      <c r="B8" s="11" t="inlineStr">
        <is>
          <t>Closed frontier</t>
        </is>
      </c>
      <c r="C8" s="12" t="n">
        <v>55</v>
      </c>
      <c r="D8" s="13" t="n">
        <v>0.55</v>
      </c>
      <c r="E8" s="12" t="inlineStr">
        <is>
          <t>9 Jul 2026</t>
        </is>
      </c>
      <c r="F8" s="14">
        <f>C8/D8</f>
        <v/>
      </c>
    </row>
    <row r="9">
      <c r="A9" s="10" t="inlineStr">
        <is>
          <t>Grok 4.5 (high)</t>
        </is>
      </c>
      <c r="B9" s="11" t="inlineStr">
        <is>
          <t>Closed frontier</t>
        </is>
      </c>
      <c r="C9" s="12" t="n">
        <v>54</v>
      </c>
      <c r="D9" s="13" t="n">
        <v>0.31</v>
      </c>
      <c r="E9" s="12" t="inlineStr">
        <is>
          <t>Jul 2026</t>
        </is>
      </c>
      <c r="F9" s="14">
        <f>C9/D9</f>
        <v/>
      </c>
    </row>
    <row r="10">
      <c r="A10" s="10" t="inlineStr">
        <is>
          <t>Claude Opus 4.8 (max)</t>
        </is>
      </c>
      <c r="B10" s="11" t="inlineStr">
        <is>
          <t>Closed frontier</t>
        </is>
      </c>
      <c r="C10" s="12" t="n">
        <v>54</v>
      </c>
      <c r="D10" s="13" t="n">
        <v>1.8</v>
      </c>
      <c r="E10" s="12" t="inlineStr">
        <is>
          <t>—</t>
        </is>
      </c>
      <c r="F10" s="14">
        <f>C10/D10</f>
        <v/>
      </c>
    </row>
    <row r="11">
      <c r="A11" s="10" t="inlineStr">
        <is>
          <t>GPT-5.6 Luna (max)</t>
        </is>
      </c>
      <c r="B11" s="11" t="inlineStr">
        <is>
          <t>Closed frontier</t>
        </is>
      </c>
      <c r="C11" s="12" t="n">
        <v>51</v>
      </c>
      <c r="D11" s="13" t="n">
        <v>0.21</v>
      </c>
      <c r="E11" s="12" t="inlineStr">
        <is>
          <t>9 Jul 2026</t>
        </is>
      </c>
      <c r="F11" s="14">
        <f>C11/D11</f>
        <v/>
      </c>
    </row>
    <row r="12">
      <c r="A12" s="10" t="inlineStr">
        <is>
          <t>Kimi K2.6 (open weights)</t>
        </is>
      </c>
      <c r="B12" s="15" t="inlineStr">
        <is>
          <t>Open weights</t>
        </is>
      </c>
      <c r="C12" s="12" t="n">
        <v>44</v>
      </c>
      <c r="D12" s="13" t="n">
        <v>0.33</v>
      </c>
      <c r="E12" s="12" t="inlineStr">
        <is>
          <t>Apr 2026</t>
        </is>
      </c>
      <c r="F12" s="14">
        <f>C12/D12</f>
        <v/>
      </c>
    </row>
    <row r="14">
      <c r="A14" s="16" t="inlineStr">
        <is>
          <t>* Claude Opus 4.8 shown as ~54 (estimated placement pending full v4.1 scoring in your table).</t>
        </is>
      </c>
    </row>
  </sheetData>
  <mergeCells count="3">
    <mergeCell ref="A14:F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0" customWidth="1" min="4" max="4"/>
    <col width="11" customWidth="1" min="5" max="5"/>
    <col width="40" customWidth="1" min="6" max="6"/>
    <col width="40" customWidth="1" min="7" max="7"/>
    <col width="9" customWidth="1" min="8" max="8"/>
  </cols>
  <sheetData>
    <row r="1" ht="28" customHeight="1">
      <c r="A1" s="1" t="inlineStr">
        <is>
          <t>Electricity per Query</t>
        </is>
      </c>
    </row>
    <row r="2" ht="16" customHeight="1">
      <c r="A2" s="2" t="inlineStr">
        <is>
          <t>Per-prompt energy for leading assistants. All figures EXCLUDE training energy. Flagged measured vs estimate.</t>
        </is>
      </c>
    </row>
    <row r="4" ht="30" customHeight="1">
      <c r="A4" s="9" t="inlineStr">
        <is>
          <t>Model / source</t>
        </is>
      </c>
      <c r="B4" s="9" t="inlineStr">
        <is>
          <t>Wh per query</t>
        </is>
      </c>
      <c r="C4" s="9" t="inlineStr">
        <is>
          <t>Joules per query (=B*3600)</t>
        </is>
      </c>
      <c r="D4" s="9" t="inlineStr">
        <is>
          <t>Type</t>
        </is>
      </c>
      <c r="E4" s="9" t="inlineStr">
        <is>
          <t>Flag</t>
        </is>
      </c>
      <c r="F4" s="9" t="inlineStr">
        <is>
          <t>Date</t>
        </is>
      </c>
      <c r="G4" s="9" t="inlineStr">
        <is>
          <t>Note</t>
        </is>
      </c>
      <c r="H4" s="9" t="inlineStr">
        <is>
          <t>Source</t>
        </is>
      </c>
    </row>
    <row r="5">
      <c r="A5" s="17" t="inlineStr">
        <is>
          <t>Google Gemini — median prompt (comprehensive, full-stack)</t>
        </is>
      </c>
      <c r="B5" s="18" t="n">
        <v>0.24</v>
      </c>
      <c r="C5" s="19">
        <f>B5*3600</f>
        <v/>
      </c>
      <c r="D5" s="12" t="inlineStr">
        <is>
          <t>Google</t>
        </is>
      </c>
      <c r="E5" s="20" t="inlineStr">
        <is>
          <t>MEASURED</t>
        </is>
      </c>
      <c r="F5" s="12" t="inlineStr">
        <is>
          <t>Aug 2025</t>
        </is>
      </c>
      <c r="G5" s="21" t="inlineStr">
        <is>
          <t>Full stack: TPU 58% + host CPU/RAM 25% + idle/failover 10% + DC overhead 8%; PUE 1.09.</t>
        </is>
      </c>
      <c r="H5" s="22" t="inlineStr">
        <is>
          <t>source</t>
        </is>
      </c>
    </row>
    <row r="6">
      <c r="A6" s="17" t="inlineStr">
        <is>
          <t>Google Gemini — median prompt (accelerator-only)</t>
        </is>
      </c>
      <c r="B6" s="18" t="n">
        <v>0.1</v>
      </c>
      <c r="C6" s="19">
        <f>B6*3600</f>
        <v/>
      </c>
      <c r="D6" s="12" t="inlineStr">
        <is>
          <t>Google</t>
        </is>
      </c>
      <c r="E6" s="20" t="inlineStr">
        <is>
          <t>MEASURED</t>
        </is>
      </c>
      <c r="F6" s="12" t="inlineStr">
        <is>
          <t>Aug 2025</t>
        </is>
      </c>
      <c r="G6" s="21" t="inlineStr">
        <is>
          <t>Chip-only method; Google says it understates true operating footprint (2.4x below comprehensive).</t>
        </is>
      </c>
      <c r="H6" s="22" t="inlineStr">
        <is>
          <t>source</t>
        </is>
      </c>
    </row>
    <row r="7">
      <c r="A7" s="17" t="inlineStr">
        <is>
          <t>OpenAI ChatGPT — average query</t>
        </is>
      </c>
      <c r="B7" s="18" t="n">
        <v>0.34</v>
      </c>
      <c r="C7" s="19">
        <f>B7*3600</f>
        <v/>
      </c>
      <c r="D7" s="12" t="inlineStr">
        <is>
          <t>OpenAI</t>
        </is>
      </c>
      <c r="E7" s="23" t="inlineStr">
        <is>
          <t>ESTIMATE</t>
        </is>
      </c>
      <c r="F7" s="12" t="inlineStr">
        <is>
          <t>Jun 2025</t>
        </is>
      </c>
      <c r="G7" s="21" t="inlineStr">
        <is>
          <t>Sam Altman, 'The Gentle Singularity'. 'Average query' undefined; methodology unpublished.</t>
        </is>
      </c>
      <c r="H7" s="22" t="inlineStr">
        <is>
          <t>source</t>
        </is>
      </c>
    </row>
    <row r="8">
      <c r="A8" s="17" t="inlineStr">
        <is>
          <t>Epoch AI — typical GPT-4o query</t>
        </is>
      </c>
      <c r="B8" s="18" t="n">
        <v>0.3</v>
      </c>
      <c r="C8" s="19">
        <f>B8*3600</f>
        <v/>
      </c>
      <c r="D8" s="12" t="inlineStr">
        <is>
          <t>Epoch AI</t>
        </is>
      </c>
      <c r="E8" s="23" t="inlineStr">
        <is>
          <t>ESTIMATE</t>
        </is>
      </c>
      <c r="F8" s="12" t="inlineStr">
        <is>
          <t>Feb 2025</t>
        </is>
      </c>
      <c r="G8" s="21" t="inlineStr">
        <is>
          <t>Modeled: ~100B active params (MoE) x 2 x 500 tokens = 1e14 FLOP; ~1s H100 x 1500W x 70% util.</t>
        </is>
      </c>
      <c r="H8" s="22" t="inlineStr">
        <is>
          <t>source</t>
        </is>
      </c>
    </row>
    <row r="9">
      <c r="A9" s="17" t="inlineStr">
        <is>
          <t>Older widely-cited estimate (for contrast)</t>
        </is>
      </c>
      <c r="B9" s="18" t="n">
        <v>3</v>
      </c>
      <c r="C9" s="19">
        <f>B9*3600</f>
        <v/>
      </c>
      <c r="D9" s="12" t="inlineStr">
        <is>
          <t>various</t>
        </is>
      </c>
      <c r="E9" s="23" t="inlineStr">
        <is>
          <t>ESTIMATE</t>
        </is>
      </c>
      <c r="F9" s="12" t="inlineStr">
        <is>
          <t>2023-24</t>
        </is>
      </c>
      <c r="G9" s="21" t="inlineStr">
        <is>
          <t>The ~3 Wh figure that the 2025 estimates revised down ~10x.</t>
        </is>
      </c>
      <c r="H9" s="22" t="inlineStr">
        <is>
          <t>source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1" customWidth="1" min="4" max="4"/>
    <col width="9" customWidth="1" min="5" max="5"/>
    <col width="50" customWidth="1" min="6" max="6"/>
    <col width="9" customWidth="1" min="7" max="7"/>
  </cols>
  <sheetData>
    <row r="1" ht="28" customHeight="1">
      <c r="A1" s="1" t="inlineStr">
        <is>
          <t>Energy per Token &amp; Open-Weight vs Frontier Efficiency</t>
        </is>
      </c>
    </row>
    <row r="2" ht="16" customHeight="1">
      <c r="A2" s="2" t="inlineStr">
        <is>
          <t>Measured on GPU power meters unless flagged. Key levers: model sparsity (MoE), inference engine, batch size.</t>
        </is>
      </c>
    </row>
    <row r="4" ht="28" customHeight="1">
      <c r="A4" s="9" t="inlineStr">
        <is>
          <t>Finding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Flag</t>
        </is>
      </c>
      <c r="E4" s="9" t="inlineStr">
        <is>
          <t>Date</t>
        </is>
      </c>
      <c r="F4" s="9" t="inlineStr">
        <is>
          <t>Detail</t>
        </is>
      </c>
      <c r="G4" s="9" t="inlineStr">
        <is>
          <t>Source</t>
        </is>
      </c>
    </row>
    <row r="5">
      <c r="A5" s="17" t="inlineStr">
        <is>
          <t>Marginal energy per output token (decode-dominated)</t>
        </is>
      </c>
      <c r="B5" s="24" t="inlineStr">
        <is>
          <t>~1.72</t>
        </is>
      </c>
      <c r="C5" s="12" t="inlineStr">
        <is>
          <t>J / token</t>
        </is>
      </c>
      <c r="D5" s="20" t="inlineStr">
        <is>
          <t>MEASURED</t>
        </is>
      </c>
      <c r="E5" s="12" t="inlineStr">
        <is>
          <t>2025</t>
        </is>
      </c>
      <c r="F5" s="21" t="inlineStr">
        <is>
          <t>Each output token = one forward pass; decode dominates, prefill negligible. Near-linear in output tokens.</t>
        </is>
      </c>
      <c r="G5" s="22" t="inlineStr">
        <is>
          <t>source</t>
        </is>
      </c>
    </row>
    <row r="6">
      <c r="A6" s="17" t="inlineStr">
        <is>
          <t>Llama 3.1 8B on H100, batch 64</t>
        </is>
      </c>
      <c r="B6" s="24" t="inlineStr">
        <is>
          <t>0.12–0.20</t>
        </is>
      </c>
      <c r="C6" s="12" t="inlineStr">
        <is>
          <t>J / token</t>
        </is>
      </c>
      <c r="D6" s="20" t="inlineStr">
        <is>
          <t>MEASURED</t>
        </is>
      </c>
      <c r="E6" s="12" t="inlineStr">
        <is>
          <t>2025</t>
        </is>
      </c>
      <c r="F6" s="21" t="inlineStr">
        <is>
          <t>ML.ENERGY benchmark, 40 model architectures x 6 tasks. Accelerator-only.</t>
        </is>
      </c>
      <c r="G6" s="22" t="inlineStr">
        <is>
          <t>source</t>
        </is>
      </c>
    </row>
    <row r="7">
      <c r="A7" s="17" t="inlineStr">
        <is>
          <t>MoE vs dense: GPT-OSS-20B vs Qwen3-32B (energy)</t>
        </is>
      </c>
      <c r="B7" s="24" t="inlineStr">
        <is>
          <t>-25.8%</t>
        </is>
      </c>
      <c r="C7" s="12" t="inlineStr">
        <is>
          <t>J / 1k tok</t>
        </is>
      </c>
      <c r="D7" s="20" t="inlineStr">
        <is>
          <t>MEASURED</t>
        </is>
      </c>
      <c r="E7" s="12" t="inlineStr">
        <is>
          <t>Aug 2025</t>
        </is>
      </c>
      <c r="F7" s="21" t="inlineStr">
        <is>
          <t>GPT-OSS-20B = 3.61B of 20.9B params active (17.3%). Lower J/1k generated tokens at 2048/64 context.</t>
        </is>
      </c>
      <c r="G7" s="22" t="inlineStr">
        <is>
          <t>source</t>
        </is>
      </c>
    </row>
    <row r="8">
      <c r="A8" s="17" t="inlineStr">
        <is>
          <t>MoE vs dense: GPT-OSS-20B vs Qwen3-32B (throughput)</t>
        </is>
      </c>
      <c r="B8" s="24" t="inlineStr">
        <is>
          <t>+34.2%</t>
        </is>
      </c>
      <c r="C8" s="12" t="inlineStr">
        <is>
          <t>tokens / Watt</t>
        </is>
      </c>
      <c r="D8" s="20" t="inlineStr">
        <is>
          <t>MEASURED</t>
        </is>
      </c>
      <c r="E8" s="12" t="inlineStr">
        <is>
          <t>Aug 2025</t>
        </is>
      </c>
      <c r="F8" s="21" t="inlineStr">
        <is>
          <t>Same test: markedly higher per-active-parameter efficiency than dense baselines.</t>
        </is>
      </c>
      <c r="G8" s="22" t="inlineStr">
        <is>
          <t>source</t>
        </is>
      </c>
    </row>
    <row r="9">
      <c r="A9" s="17" t="inlineStr">
        <is>
          <t>Mixtral-8x7B vs dense of similar capability</t>
        </is>
      </c>
      <c r="B9" s="24" t="inlineStr">
        <is>
          <t>2–3x lower</t>
        </is>
      </c>
      <c r="C9" s="12" t="inlineStr">
        <is>
          <t>J / token</t>
        </is>
      </c>
      <c r="D9" s="23" t="inlineStr">
        <is>
          <t>ESTIMATE</t>
        </is>
      </c>
      <c r="E9" s="12" t="inlineStr">
        <is>
          <t>2025</t>
        </is>
      </c>
      <c r="F9" s="21" t="inlineStr">
        <is>
          <t>13B of 46.7B active. Asserted in preprint; not independently measured.</t>
        </is>
      </c>
      <c r="G9" s="22" t="inlineStr">
        <is>
          <t>source</t>
        </is>
      </c>
    </row>
    <row r="10">
      <c r="A10" s="17" t="inlineStr">
        <is>
          <t>Inference engine: vLLM / TensorRT-LLM vs HF Transformers</t>
        </is>
      </c>
      <c r="B10" s="24" t="inlineStr">
        <is>
          <t>-25 to -40%</t>
        </is>
      </c>
      <c r="C10" s="12" t="inlineStr">
        <is>
          <t>J / token</t>
        </is>
      </c>
      <c r="D10" s="20" t="inlineStr">
        <is>
          <t>MEASURED</t>
        </is>
      </c>
      <c r="E10" s="12" t="inlineStr">
        <is>
          <t>Dec 2025</t>
        </is>
      </c>
      <c r="F10" s="21" t="inlineStr">
        <is>
          <t>TokenPowerBench (AAAI'26). Engine choice alone. Larger reduction under high concurrency.</t>
        </is>
      </c>
      <c r="G10" s="22" t="inlineStr">
        <is>
          <t>source</t>
        </is>
      </c>
    </row>
    <row r="11">
      <c r="A11" s="17" t="inlineStr">
        <is>
          <t>Scaling within family: Llama3 1B → 70B</t>
        </is>
      </c>
      <c r="B11" s="24" t="inlineStr">
        <is>
          <t>7.3x</t>
        </is>
      </c>
      <c r="C11" s="12" t="inlineStr">
        <is>
          <t>energy / token</t>
        </is>
      </c>
      <c r="D11" s="20" t="inlineStr">
        <is>
          <t>MEASURED</t>
        </is>
      </c>
      <c r="E11" s="12" t="inlineStr">
        <is>
          <t>Dec 2025</t>
        </is>
      </c>
      <c r="F11" s="21" t="inlineStr">
        <is>
          <t>70x more parameters raised per-token energy only 7.3x — sublinear.</t>
        </is>
      </c>
      <c r="G11" s="22" t="inlineStr">
        <is>
          <t>source</t>
        </is>
      </c>
    </row>
    <row r="13" ht="28" customHeight="1">
      <c r="A13" s="25" t="inlineStr">
        <is>
          <t>Caveat: MoE advantages measured on single GPUs with dense-optimized runtimes. At hyperscaler batch sizes (tokens routed across many experts) per-token savings shrink, and all expert weights must sit in VRAM despite few being active.</t>
        </is>
      </c>
    </row>
  </sheetData>
  <mergeCells count="3">
    <mergeCell ref="A1:I1"/>
    <mergeCell ref="A13:G13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0" customWidth="1" min="5" max="5"/>
    <col width="40" customWidth="1" min="6" max="6"/>
    <col width="9" customWidth="1" min="7" max="7"/>
  </cols>
  <sheetData>
    <row r="1" ht="28" customHeight="1">
      <c r="A1" s="1" t="inlineStr">
        <is>
          <t>AI Data-Center Power — Baseline &amp; Projections</t>
        </is>
      </c>
    </row>
    <row r="2" ht="16" customHeight="1">
      <c r="A2" s="2" t="inlineStr">
        <is>
          <t>Anchor figures for the scenario model on the next tab. GW = continuous power; TWh/yr = annual energy.</t>
        </is>
      </c>
    </row>
    <row r="4" ht="24" customHeight="1">
      <c r="A4" s="9" t="inlineStr">
        <is>
          <t>Metric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Flag</t>
        </is>
      </c>
      <c r="E4" s="9" t="inlineStr">
        <is>
          <t>Horizon</t>
        </is>
      </c>
      <c r="F4" s="9" t="inlineStr">
        <is>
          <t>Scope</t>
        </is>
      </c>
      <c r="G4" s="9" t="inlineStr">
        <is>
          <t>Source</t>
        </is>
      </c>
    </row>
    <row r="5">
      <c r="A5" s="17" t="inlineStr">
        <is>
          <t>US AI power demand — today</t>
        </is>
      </c>
      <c r="B5" s="24" t="n">
        <v>5</v>
      </c>
      <c r="C5" s="12" t="inlineStr">
        <is>
          <t>GW</t>
        </is>
      </c>
      <c r="D5" s="23" t="inlineStr">
        <is>
          <t>ESTIMATE</t>
        </is>
      </c>
      <c r="E5" s="12" t="inlineStr">
        <is>
          <t>2025</t>
        </is>
      </c>
      <c r="F5" s="21" t="inlineStr">
        <is>
          <t>US, AI training+inference</t>
        </is>
      </c>
      <c r="G5" s="22" t="inlineStr">
        <is>
          <t>source</t>
        </is>
      </c>
    </row>
    <row r="6">
      <c r="A6" s="17" t="inlineStr">
        <is>
          <t>US AI power demand — 2030</t>
        </is>
      </c>
      <c r="B6" s="24" t="n">
        <v>50</v>
      </c>
      <c r="C6" s="12" t="inlineStr">
        <is>
          <t>GW</t>
        </is>
      </c>
      <c r="D6" s="23" t="inlineStr">
        <is>
          <t>ESTIMATE</t>
        </is>
      </c>
      <c r="E6" s="12" t="inlineStr">
        <is>
          <t>2030</t>
        </is>
      </c>
      <c r="F6" s="21" t="inlineStr">
        <is>
          <t>US, AI training+inference (&gt;5% of US generation)</t>
        </is>
      </c>
      <c r="G6" s="22" t="inlineStr">
        <is>
          <t>source</t>
        </is>
      </c>
    </row>
    <row r="7">
      <c r="A7" s="17" t="inlineStr">
        <is>
          <t>Largest single training run — 2028</t>
        </is>
      </c>
      <c r="B7" s="24" t="n">
        <v>1.5</v>
      </c>
      <c r="C7" s="12" t="inlineStr">
        <is>
          <t>GW</t>
        </is>
      </c>
      <c r="D7" s="23" t="inlineStr">
        <is>
          <t>ESTIMATE</t>
        </is>
      </c>
      <c r="E7" s="12" t="inlineStr">
        <is>
          <t>2028</t>
        </is>
      </c>
      <c r="F7" s="21" t="inlineStr">
        <is>
          <t>One frontier run</t>
        </is>
      </c>
      <c r="G7" s="22" t="inlineStr">
        <is>
          <t>source</t>
        </is>
      </c>
    </row>
    <row r="8">
      <c r="A8" s="17" t="inlineStr">
        <is>
          <t>Largest single training run — 2030</t>
        </is>
      </c>
      <c r="B8" s="24" t="n">
        <v>10</v>
      </c>
      <c r="C8" s="12" t="inlineStr">
        <is>
          <t>GW</t>
        </is>
      </c>
      <c r="D8" s="23" t="inlineStr">
        <is>
          <t>ESTIMATE</t>
        </is>
      </c>
      <c r="E8" s="12" t="inlineStr">
        <is>
          <t>2030</t>
        </is>
      </c>
      <c r="F8" s="21" t="inlineStr">
        <is>
          <t>One frontier run (range 4-16 GW)</t>
        </is>
      </c>
      <c r="G8" s="22" t="inlineStr">
        <is>
          <t>source</t>
        </is>
      </c>
    </row>
    <row r="9">
      <c r="A9" s="17" t="inlineStr">
        <is>
          <t>Global data-center electricity — 2024</t>
        </is>
      </c>
      <c r="B9" s="24" t="n">
        <v>415</v>
      </c>
      <c r="C9" s="12" t="inlineStr">
        <is>
          <t>TWh/yr</t>
        </is>
      </c>
      <c r="D9" s="23" t="inlineStr">
        <is>
          <t>REPORTED*</t>
        </is>
      </c>
      <c r="E9" s="12" t="inlineStr">
        <is>
          <t>2024</t>
        </is>
      </c>
      <c r="F9" s="21" t="inlineStr">
        <is>
          <t>All data centers (not only AI)</t>
        </is>
      </c>
      <c r="G9" s="22" t="inlineStr">
        <is>
          <t>source</t>
        </is>
      </c>
    </row>
    <row r="10">
      <c r="A10" s="17" t="inlineStr">
        <is>
          <t>Global data-center electricity — 2030</t>
        </is>
      </c>
      <c r="B10" s="24" t="n">
        <v>945</v>
      </c>
      <c r="C10" s="12" t="inlineStr">
        <is>
          <t>TWh/yr</t>
        </is>
      </c>
      <c r="D10" s="23" t="inlineStr">
        <is>
          <t>REPORTED*</t>
        </is>
      </c>
      <c r="E10" s="12" t="inlineStr">
        <is>
          <t>2030</t>
        </is>
      </c>
      <c r="F10" s="21" t="inlineStr">
        <is>
          <t>All data centers, ~3% of global electricity</t>
        </is>
      </c>
      <c r="G10" s="22" t="inlineStr">
        <is>
          <t>source</t>
        </is>
      </c>
    </row>
    <row r="12" ht="26" customHeight="1">
      <c r="A12" s="25" t="inlineStr">
        <is>
          <t>* IEA 'Energy and AI' figures could not be machine-fetched in this research pass (site returned no crawlable content). Confirm on iea.org before citing. All others verified 3-0.</t>
        </is>
      </c>
    </row>
    <row r="14">
      <c r="A14" s="16" t="inlineStr">
        <is>
          <t>Unit helper: 1 TWh/yr = 0.11416 GW continuous  (=1e12 Wh / 8760 h / 1e9).</t>
        </is>
      </c>
    </row>
  </sheetData>
  <mergeCells count="4">
    <mergeCell ref="A14:G14"/>
    <mergeCell ref="A2:H2"/>
    <mergeCell ref="A12:G1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4" customWidth="1" min="8" max="8"/>
    <col width="4" customWidth="1" min="9" max="9"/>
    <col width="4" customWidth="1" min="10" max="10"/>
  </cols>
  <sheetData>
    <row r="1" ht="28" customHeight="1">
      <c r="A1" s="1" t="inlineStr">
        <is>
          <t>Open-Source Shift → DC Capacity: Parametric Model</t>
        </is>
      </c>
    </row>
    <row r="2" ht="16" customHeight="1">
      <c r="A2" s="2" t="inlineStr">
        <is>
          <t>ILLUSTRATIVE, not a forecast. Change the yellow input cells; everything else recomputes. See tab 7 for the logic.</t>
        </is>
      </c>
    </row>
    <row r="4">
      <c r="A4" s="5" t="inlineStr">
        <is>
          <t>INPUTS (adjust the yellow cells)</t>
        </is>
      </c>
    </row>
    <row r="5" ht="22" customHeight="1">
      <c r="A5" s="9" t="inlineStr">
        <is>
          <t>Parameter</t>
        </is>
      </c>
      <c r="B5" s="9" t="inlineStr">
        <is>
          <t>Symbol</t>
        </is>
      </c>
      <c r="C5" s="9" t="inlineStr">
        <is>
          <t>Value</t>
        </is>
      </c>
      <c r="D5" s="9" t="inlineStr">
        <is>
          <t>Unit / note</t>
        </is>
      </c>
    </row>
    <row r="6">
      <c r="A6" s="26" t="inlineStr">
        <is>
          <t>Baseline 2030 US AI *inference* power (all closed/hyperscaler)</t>
        </is>
      </c>
      <c r="B6" s="27" t="inlineStr">
        <is>
          <t>P0</t>
        </is>
      </c>
      <c r="C6" s="28" t="n">
        <v>25</v>
      </c>
      <c r="D6" s="29" t="inlineStr">
        <is>
          <t>GW  (assume ~50% of Epoch's &gt;50 GW total AI load is inference)</t>
        </is>
      </c>
    </row>
    <row r="7">
      <c r="A7" s="26" t="inlineStr">
        <is>
          <t>Open-weight model energy factor vs frontier (per token)</t>
        </is>
      </c>
      <c r="B7" s="27" t="inlineStr">
        <is>
          <t>k</t>
        </is>
      </c>
      <c r="C7" s="30" t="n">
        <v>0.75</v>
      </c>
      <c r="D7" s="29" t="inlineStr">
        <is>
          <t>x  (0.75 = 25% lower; from GPT-OSS vs Qwen3 measured)</t>
        </is>
      </c>
    </row>
    <row r="8">
      <c r="A8" s="26" t="inlineStr">
        <is>
          <t>Deployment overhead — closed on hyperscaler (reference)</t>
        </is>
      </c>
      <c r="B8" s="27" t="inlineStr">
        <is>
          <t>Mc</t>
        </is>
      </c>
      <c r="C8" s="30" t="n">
        <v>1</v>
      </c>
      <c r="D8" s="29" t="inlineStr">
        <is>
          <t>x  (high batch, ~70% utilisation)</t>
        </is>
      </c>
    </row>
    <row r="9">
      <c r="A9" s="26" t="inlineStr">
        <is>
          <t>Deployment overhead — open on optimised cloud</t>
        </is>
      </c>
      <c r="B9" s="27" t="inlineStr">
        <is>
          <t>Mo</t>
        </is>
      </c>
      <c r="C9" s="30" t="n">
        <v>1.15</v>
      </c>
      <c r="D9" s="29" t="inlineStr">
        <is>
          <t>x  (vLLM/TensorRT, decent batch)</t>
        </is>
      </c>
    </row>
    <row r="10">
      <c r="A10" s="26" t="inlineStr">
        <is>
          <t>Deployment overhead — open self-hosted (low utilisation)</t>
        </is>
      </c>
      <c r="B10" s="27" t="inlineStr">
        <is>
          <t>Ms</t>
        </is>
      </c>
      <c r="C10" s="30" t="n">
        <v>3</v>
      </c>
      <c r="D10" s="29" t="inlineStr">
        <is>
          <t>x  (~15-25% util; up to ~10x at 10%)</t>
        </is>
      </c>
    </row>
    <row r="11">
      <c r="A11" s="26" t="inlineStr">
        <is>
          <t>Induced-demand (Jevons) multiplier on open workload</t>
        </is>
      </c>
      <c r="B11" s="27" t="inlineStr">
        <is>
          <t>J</t>
        </is>
      </c>
      <c r="C11" s="30" t="n">
        <v>1.5</v>
      </c>
      <c r="D11" s="29" t="inlineStr">
        <is>
          <t>x  (1.0 = none; used only in scenario C; 1.5-2.0 = cheaper access drives more use)</t>
        </is>
      </c>
    </row>
    <row r="13">
      <c r="A13" s="5" t="inlineStr">
        <is>
          <t>RESULT — aggregate US AI inference power (GW) by share shifted to open weights</t>
        </is>
      </c>
    </row>
    <row r="14" ht="30" customHeight="1">
      <c r="A14" s="9" t="inlineStr">
        <is>
          <t>Share shifted to open →</t>
        </is>
      </c>
      <c r="B14" s="9" t="inlineStr">
        <is>
          <t>A: efficient open, cloud-served</t>
        </is>
      </c>
      <c r="C14" s="9" t="inlineStr"/>
      <c r="D14" s="9" t="inlineStr">
        <is>
          <t>B: fragmented self-hosted</t>
        </is>
      </c>
      <c r="E14" s="9" t="inlineStr"/>
      <c r="F14" s="9" t="inlineStr">
        <is>
          <t>C: self-hosted + induced demand</t>
        </is>
      </c>
      <c r="G14" s="9" t="inlineStr"/>
    </row>
    <row r="15">
      <c r="A15" t="inlineStr"/>
      <c r="B15" s="31" t="inlineStr">
        <is>
          <t>GW</t>
        </is>
      </c>
      <c r="C15" s="31" t="inlineStr">
        <is>
          <t>Δ%</t>
        </is>
      </c>
      <c r="D15" s="31" t="inlineStr">
        <is>
          <t>GW</t>
        </is>
      </c>
      <c r="E15" s="31" t="inlineStr">
        <is>
          <t>Δ%</t>
        </is>
      </c>
      <c r="F15" s="31" t="inlineStr">
        <is>
          <t>GW</t>
        </is>
      </c>
      <c r="G15" s="31" t="inlineStr">
        <is>
          <t>Δ%</t>
        </is>
      </c>
    </row>
    <row r="16">
      <c r="A16" s="32" t="n">
        <v>0</v>
      </c>
      <c r="B16" s="33">
        <f>$C$6*((1-$A16)+$A16*1*$C$7*$C$9)</f>
        <v/>
      </c>
      <c r="C16" s="34">
        <f>$C$6*((1-$A16)+$A16*1*$C$7*$C$9)/$C$6-1</f>
        <v/>
      </c>
      <c r="D16" s="33">
        <f>$C$6*((1-$A16)+$A16*1*$C$7*$C$10)</f>
        <v/>
      </c>
      <c r="E16" s="34">
        <f>$C$6*((1-$A16)+$A16*1*$C$7*$C$10)/$C$6-1</f>
        <v/>
      </c>
      <c r="F16" s="33">
        <f>$C$6*((1-$A16)+$A16*$C$11*$C$7*$C$10)</f>
        <v/>
      </c>
      <c r="G16" s="34">
        <f>$C$6*((1-$A16)+$A16*$C$11*$C$7*$C$10)/$C$6-1</f>
        <v/>
      </c>
    </row>
    <row r="17">
      <c r="A17" s="32" t="n">
        <v>0.25</v>
      </c>
      <c r="B17" s="33">
        <f>$C$6*((1-$A17)+$A17*1*$C$7*$C$9)</f>
        <v/>
      </c>
      <c r="C17" s="34">
        <f>$C$6*((1-$A17)+$A17*1*$C$7*$C$9)/$C$6-1</f>
        <v/>
      </c>
      <c r="D17" s="33">
        <f>$C$6*((1-$A17)+$A17*1*$C$7*$C$10)</f>
        <v/>
      </c>
      <c r="E17" s="34">
        <f>$C$6*((1-$A17)+$A17*1*$C$7*$C$10)/$C$6-1</f>
        <v/>
      </c>
      <c r="F17" s="33">
        <f>$C$6*((1-$A17)+$A17*$C$11*$C$7*$C$10)</f>
        <v/>
      </c>
      <c r="G17" s="34">
        <f>$C$6*((1-$A17)+$A17*$C$11*$C$7*$C$10)/$C$6-1</f>
        <v/>
      </c>
    </row>
    <row r="18">
      <c r="A18" s="32" t="n">
        <v>0.5</v>
      </c>
      <c r="B18" s="33">
        <f>$C$6*((1-$A18)+$A18*1*$C$7*$C$9)</f>
        <v/>
      </c>
      <c r="C18" s="34">
        <f>$C$6*((1-$A18)+$A18*1*$C$7*$C$9)/$C$6-1</f>
        <v/>
      </c>
      <c r="D18" s="33">
        <f>$C$6*((1-$A18)+$A18*1*$C$7*$C$10)</f>
        <v/>
      </c>
      <c r="E18" s="34">
        <f>$C$6*((1-$A18)+$A18*1*$C$7*$C$10)/$C$6-1</f>
        <v/>
      </c>
      <c r="F18" s="33">
        <f>$C$6*((1-$A18)+$A18*$C$11*$C$7*$C$10)</f>
        <v/>
      </c>
      <c r="G18" s="34">
        <f>$C$6*((1-$A18)+$A18*$C$11*$C$7*$C$10)/$C$6-1</f>
        <v/>
      </c>
    </row>
    <row r="19">
      <c r="A19" s="32" t="n">
        <v>0.75</v>
      </c>
      <c r="B19" s="33">
        <f>$C$6*((1-$A19)+$A19*1*$C$7*$C$9)</f>
        <v/>
      </c>
      <c r="C19" s="34">
        <f>$C$6*((1-$A19)+$A19*1*$C$7*$C$9)/$C$6-1</f>
        <v/>
      </c>
      <c r="D19" s="33">
        <f>$C$6*((1-$A19)+$A19*1*$C$7*$C$10)</f>
        <v/>
      </c>
      <c r="E19" s="34">
        <f>$C$6*((1-$A19)+$A19*1*$C$7*$C$10)/$C$6-1</f>
        <v/>
      </c>
      <c r="F19" s="33">
        <f>$C$6*((1-$A19)+$A19*$C$11*$C$7*$C$10)</f>
        <v/>
      </c>
      <c r="G19" s="34">
        <f>$C$6*((1-$A19)+$A19*$C$11*$C$7*$C$10)/$C$6-1</f>
        <v/>
      </c>
    </row>
    <row r="20">
      <c r="A20" s="32" t="n">
        <v>1</v>
      </c>
      <c r="B20" s="33">
        <f>$C$6*((1-$A20)+$A20*1*$C$7*$C$9)</f>
        <v/>
      </c>
      <c r="C20" s="34">
        <f>$C$6*((1-$A20)+$A20*1*$C$7*$C$9)/$C$6-1</f>
        <v/>
      </c>
      <c r="D20" s="33">
        <f>$C$6*((1-$A20)+$A20*1*$C$7*$C$10)</f>
        <v/>
      </c>
      <c r="E20" s="34">
        <f>$C$6*((1-$A20)+$A20*1*$C$7*$C$10)/$C$6-1</f>
        <v/>
      </c>
      <c r="F20" s="33">
        <f>$C$6*((1-$A20)+$A20*$C$11*$C$7*$C$10)</f>
        <v/>
      </c>
      <c r="G20" s="34">
        <f>$C$6*((1-$A20)+$A20*$C$11*$C$7*$C$10)/$C$6-1</f>
        <v/>
      </c>
    </row>
    <row r="22">
      <c r="A22" s="35" t="inlineStr">
        <is>
          <t>Effective energy per token by regime (relative to closed=1.00)</t>
        </is>
      </c>
    </row>
    <row r="23" ht="22" customHeight="1">
      <c r="A23" s="9" t="inlineStr">
        <is>
          <t>Regime</t>
        </is>
      </c>
      <c r="B23" s="9" t="inlineStr">
        <is>
          <t>Formula</t>
        </is>
      </c>
      <c r="C23" s="9" t="inlineStr">
        <is>
          <t>Relative energy/token</t>
        </is>
      </c>
    </row>
    <row r="24">
      <c r="A24" s="26" t="inlineStr">
        <is>
          <t>Closed frontier, hyperscaler</t>
        </is>
      </c>
      <c r="B24" s="36" t="inlineStr">
        <is>
          <t>Mc</t>
        </is>
      </c>
      <c r="C24" s="37">
        <f>$C$8</f>
        <v/>
      </c>
    </row>
    <row r="25">
      <c r="A25" s="26" t="inlineStr">
        <is>
          <t>Open weights, optimised cloud</t>
        </is>
      </c>
      <c r="B25" s="36" t="inlineStr">
        <is>
          <t>k*Mo</t>
        </is>
      </c>
      <c r="C25" s="37">
        <f>$C$7*$C$9</f>
        <v/>
      </c>
    </row>
    <row r="26">
      <c r="A26" s="26" t="inlineStr">
        <is>
          <t>Open weights, self-hosted (low util)</t>
        </is>
      </c>
      <c r="B26" s="36" t="inlineStr">
        <is>
          <t>k*Ms</t>
        </is>
      </c>
      <c r="C26" s="37">
        <f>$C$7*$C$10</f>
        <v/>
      </c>
    </row>
    <row r="28">
      <c r="A28" s="38" t="inlineStr">
        <is>
          <t>READ-OUT: With efficient open models served on optimised cloud (col A), a shift can slightly LOWER aggregate power. But fragmented low-utilisation self-hosting (col B) RAISES it, and induced demand (col C) raises it further. The direction is decided by DEPLOYMENT UTILISATION and INDUCED DEMAND — not by the weights being 'open'.</t>
        </is>
      </c>
    </row>
    <row r="29"/>
    <row r="30"/>
  </sheetData>
  <mergeCells count="5">
    <mergeCell ref="A1:J1"/>
    <mergeCell ref="A22:D22"/>
    <mergeCell ref="A2:J2"/>
    <mergeCell ref="A28:J30"/>
    <mergeCell ref="A13:J1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2" customWidth="1" min="3" max="3"/>
    <col width="13" customWidth="1" min="4" max="4"/>
    <col width="40" customWidth="1" min="5" max="5"/>
    <col width="10" customWidth="1" min="6" max="6"/>
  </cols>
  <sheetData>
    <row r="1" ht="28" customHeight="1">
      <c r="A1" s="1" t="inlineStr">
        <is>
          <t>Sources</t>
        </is>
      </c>
    </row>
    <row r="2" ht="16" customHeight="1">
      <c r="A2" s="2" t="inlineStr">
        <is>
          <t>Primary sources prioritised. 24 of 25 extracted claims verified by 3-way adversarial check.</t>
        </is>
      </c>
    </row>
    <row r="4" ht="22" customHeight="1">
      <c r="A4" s="9" t="inlineStr">
        <is>
          <t>#</t>
        </is>
      </c>
      <c r="B4" s="9" t="inlineStr">
        <is>
          <t>Publisher / title</t>
        </is>
      </c>
      <c r="C4" s="9" t="inlineStr">
        <is>
          <t>Date</t>
        </is>
      </c>
      <c r="D4" s="9" t="inlineStr">
        <is>
          <t>Quality</t>
        </is>
      </c>
      <c r="E4" s="9" t="inlineStr">
        <is>
          <t>Supports</t>
        </is>
      </c>
      <c r="F4" s="9" t="inlineStr">
        <is>
          <t>URL</t>
        </is>
      </c>
    </row>
    <row r="5">
      <c r="A5" s="12" t="n">
        <v>1</v>
      </c>
      <c r="B5" s="17" t="inlineStr">
        <is>
          <t>Google Cloud — Measuring the environmental impact of AI inference</t>
        </is>
      </c>
      <c r="C5" s="12" t="inlineStr">
        <is>
          <t>Aug 21 2025</t>
        </is>
      </c>
      <c r="D5" s="39" t="inlineStr">
        <is>
          <t>Primary</t>
        </is>
      </c>
      <c r="E5" s="21" t="inlineStr">
        <is>
          <t>Gemini 0.24/0.10 Wh, PUE 1.09, breakdown, 33x/yr</t>
        </is>
      </c>
      <c r="F5" s="22" t="inlineStr">
        <is>
          <t>open</t>
        </is>
      </c>
    </row>
    <row r="6">
      <c r="A6" s="12" t="n">
        <v>2</v>
      </c>
      <c r="B6" s="17" t="inlineStr">
        <is>
          <t>arXiv 2508.15734 — Google technical paper</t>
        </is>
      </c>
      <c r="C6" s="12" t="inlineStr">
        <is>
          <t>Aug 21 2025</t>
        </is>
      </c>
      <c r="D6" s="39" t="inlineStr">
        <is>
          <t>Primary</t>
        </is>
      </c>
      <c r="E6" s="21" t="inlineStr">
        <is>
          <t>Gemini energy methodology &amp; figures</t>
        </is>
      </c>
      <c r="F6" s="22" t="inlineStr">
        <is>
          <t>open</t>
        </is>
      </c>
    </row>
    <row r="7">
      <c r="A7" s="12" t="n">
        <v>3</v>
      </c>
      <c r="B7" s="17" t="inlineStr">
        <is>
          <t>Sam Altman — The Gentle Singularity</t>
        </is>
      </c>
      <c r="C7" s="12" t="inlineStr">
        <is>
          <t>Jun 2025</t>
        </is>
      </c>
      <c r="D7" s="39" t="inlineStr">
        <is>
          <t>Primary</t>
        </is>
      </c>
      <c r="E7" s="21" t="inlineStr">
        <is>
          <t>ChatGPT ~0.34 Wh avg query</t>
        </is>
      </c>
      <c r="F7" s="22" t="inlineStr">
        <is>
          <t>open</t>
        </is>
      </c>
    </row>
    <row r="8">
      <c r="A8" s="12" t="n">
        <v>4</v>
      </c>
      <c r="B8" s="17" t="inlineStr">
        <is>
          <t>Epoch AI — How much energy does ChatGPT use?</t>
        </is>
      </c>
      <c r="C8" s="12" t="inlineStr">
        <is>
          <t>Feb 2025</t>
        </is>
      </c>
      <c r="D8" s="39" t="inlineStr">
        <is>
          <t>Primary</t>
        </is>
      </c>
      <c r="E8" s="21" t="inlineStr">
        <is>
          <t>GPT-4o ~0.3 Wh estimate &amp; FLOP model</t>
        </is>
      </c>
      <c r="F8" s="22" t="inlineStr">
        <is>
          <t>open</t>
        </is>
      </c>
    </row>
    <row r="9">
      <c r="A9" s="12" t="n">
        <v>5</v>
      </c>
      <c r="B9" s="17" t="inlineStr">
        <is>
          <t>Epoch AI / EPRI — Power demands of frontier AI training</t>
        </is>
      </c>
      <c r="C9" s="12" t="inlineStr">
        <is>
          <t>Aug 11 2025</t>
        </is>
      </c>
      <c r="D9" s="39" t="inlineStr">
        <is>
          <t>Primary</t>
        </is>
      </c>
      <c r="E9" s="21" t="inlineStr">
        <is>
          <t>US 5→50 GW; 4-16 GW training runs</t>
        </is>
      </c>
      <c r="F9" s="22" t="inlineStr">
        <is>
          <t>open</t>
        </is>
      </c>
    </row>
    <row r="10">
      <c r="A10" s="12" t="n">
        <v>6</v>
      </c>
      <c r="B10" s="17" t="inlineStr">
        <is>
          <t>ML.ENERGY Benchmark (arXiv 2505.06371, NeurIPS 2025)</t>
        </is>
      </c>
      <c r="C10" s="12" t="inlineStr">
        <is>
          <t>May 2025</t>
        </is>
      </c>
      <c r="D10" s="39" t="inlineStr">
        <is>
          <t>Primary</t>
        </is>
      </c>
      <c r="E10" s="21" t="inlineStr">
        <is>
          <t>0.12-0.20 J/tok Llama-8B; 40 models</t>
        </is>
      </c>
      <c r="F10" s="22" t="inlineStr">
        <is>
          <t>open</t>
        </is>
      </c>
    </row>
    <row r="11">
      <c r="A11" s="12" t="n">
        <v>7</v>
      </c>
      <c r="B11" s="17" t="inlineStr">
        <is>
          <t>arXiv 2508.16700 — GPT-OSS vs dense MoE energy</t>
        </is>
      </c>
      <c r="C11" s="12" t="inlineStr">
        <is>
          <t>Aug 2025</t>
        </is>
      </c>
      <c r="D11" s="39" t="inlineStr">
        <is>
          <t>Primary</t>
        </is>
      </c>
      <c r="E11" s="21" t="inlineStr">
        <is>
          <t>MoE -25.8% J/1k tok, +34.2% tok/W</t>
        </is>
      </c>
      <c r="F11" s="22" t="inlineStr">
        <is>
          <t>open</t>
        </is>
      </c>
    </row>
    <row r="12">
      <c r="A12" s="12" t="n">
        <v>8</v>
      </c>
      <c r="B12" s="17" t="inlineStr">
        <is>
          <t>TokenPowerBench (arXiv 2512.03024, AAAI'26)</t>
        </is>
      </c>
      <c r="C12" s="12" t="inlineStr">
        <is>
          <t>Dec 2025</t>
        </is>
      </c>
      <c r="D12" s="39" t="inlineStr">
        <is>
          <t>Primary</t>
        </is>
      </c>
      <c r="E12" s="21" t="inlineStr">
        <is>
          <t>Engine 25-40%; 7.3x scaling</t>
        </is>
      </c>
      <c r="F12" s="22" t="inlineStr">
        <is>
          <t>open</t>
        </is>
      </c>
    </row>
    <row r="13">
      <c r="A13" s="12" t="n">
        <v>9</v>
      </c>
      <c r="B13" s="17" t="inlineStr">
        <is>
          <t>ACL 2025 long paper — inference energy vs tokens</t>
        </is>
      </c>
      <c r="C13" s="12" t="inlineStr">
        <is>
          <t>2025</t>
        </is>
      </c>
      <c r="D13" s="39" t="inlineStr">
        <is>
          <t>Primary</t>
        </is>
      </c>
      <c r="E13" s="21" t="inlineStr">
        <is>
          <t>~1.72 J/token marginal; decode dominates</t>
        </is>
      </c>
      <c r="F13" s="22" t="inlineStr">
        <is>
          <t>open</t>
        </is>
      </c>
    </row>
    <row r="14">
      <c r="A14" s="12" t="n">
        <v>10</v>
      </c>
      <c r="B14" s="17" t="inlineStr">
        <is>
          <t>Mixtral of Experts (arXiv 2401.04088)</t>
        </is>
      </c>
      <c r="C14" s="12" t="inlineStr">
        <is>
          <t>2024</t>
        </is>
      </c>
      <c r="D14" s="39" t="inlineStr">
        <is>
          <t>Primary</t>
        </is>
      </c>
      <c r="E14" s="21" t="inlineStr">
        <is>
          <t>Mixtral active-param basis (2-3x claim = estimate)</t>
        </is>
      </c>
      <c r="F14" s="22" t="inlineStr">
        <is>
          <t>open</t>
        </is>
      </c>
    </row>
    <row r="15">
      <c r="A15" s="12" t="n">
        <v>11</v>
      </c>
      <c r="B15" s="17" t="inlineStr">
        <is>
          <t>DataCenterDynamics — Gemini 0.24 Wh coverage</t>
        </is>
      </c>
      <c r="C15" s="12" t="inlineStr">
        <is>
          <t>Aug 2025</t>
        </is>
      </c>
      <c r="D15" s="40" t="inlineStr">
        <is>
          <t>Secondary</t>
        </is>
      </c>
      <c r="E15" s="21" t="inlineStr">
        <is>
          <t>Corroborates Google figures</t>
        </is>
      </c>
      <c r="F15" s="22" t="inlineStr">
        <is>
          <t>open</t>
        </is>
      </c>
    </row>
    <row r="16">
      <c r="A16" s="12" t="n">
        <v>12</v>
      </c>
      <c r="B16" s="17" t="inlineStr">
        <is>
          <t>Hannah Ritchie — AI footprint (Aug 2025)</t>
        </is>
      </c>
      <c r="C16" s="12" t="inlineStr">
        <is>
          <t>Aug 2025</t>
        </is>
      </c>
      <c r="D16" s="40" t="inlineStr">
        <is>
          <t>Secondary</t>
        </is>
      </c>
      <c r="E16" s="21" t="inlineStr">
        <is>
          <t>Corroborates 0.24 &amp; 0.34 Wh</t>
        </is>
      </c>
      <c r="F16" s="22" t="inlineStr">
        <is>
          <t>open</t>
        </is>
      </c>
    </row>
    <row r="17">
      <c r="A17" s="12" t="n">
        <v>13</v>
      </c>
      <c r="B17" s="17" t="inlineStr">
        <is>
          <t>IEA — Energy and AI: Energy demand from AI</t>
        </is>
      </c>
      <c r="C17" s="12" t="inlineStr">
        <is>
          <t>2025</t>
        </is>
      </c>
      <c r="D17" s="41" t="inlineStr">
        <is>
          <t>Reported*</t>
        </is>
      </c>
      <c r="E17" s="21" t="inlineStr">
        <is>
          <t>Global DC 415→945 TWh (NOT re-verified)</t>
        </is>
      </c>
      <c r="F17" s="22" t="inlineStr">
        <is>
          <t>open</t>
        </is>
      </c>
    </row>
    <row r="18">
      <c r="A18" s="12" t="n">
        <v>14</v>
      </c>
      <c r="B18" s="17" t="inlineStr">
        <is>
          <t>Artificial Analysis Intelligence Index v4.1</t>
        </is>
      </c>
      <c r="C18" s="12" t="inlineStr">
        <is>
          <t>2026</t>
        </is>
      </c>
      <c r="D18" s="41" t="inlineStr">
        <is>
          <t>Not fetchable</t>
        </is>
      </c>
      <c r="E18" s="21" t="inlineStr">
        <is>
          <t>Tab 1 scores/costs (confirm manually)</t>
        </is>
      </c>
      <c r="F18" s="22" t="inlineStr">
        <is>
          <t>open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Assumptions &amp; Method</t>
        </is>
      </c>
    </row>
    <row r="2" ht="16" customHeight="1">
      <c r="A2" s="2" t="inlineStr">
        <is>
          <t>Everything I assumed or derived, in plain English, so you can challenge each step.</t>
        </is>
      </c>
    </row>
    <row r="3" ht="18" customHeight="1">
      <c r="A3" s="5" t="inlineStr">
        <is>
          <t>Intelligence-per-dollar (tab 1)</t>
        </is>
      </c>
    </row>
    <row r="4">
      <c r="A4" s="4">
        <f> AAII v4.1 score ÷ $/task. A pure ratio; higher = more intelligence per dollar spent.</f>
        <v/>
      </c>
    </row>
    <row r="5">
      <c r="A5" s="4" t="inlineStr">
        <is>
          <t>AAII scores and $/task are taken verbatim from your table — I did not re-verify them.</t>
        </is>
      </c>
    </row>
    <row r="6">
      <c r="A6" s="4" t="inlineStr">
        <is>
          <t>Claude Opus 4.8 entered as 54 (your table shows ~54*).</t>
        </is>
      </c>
    </row>
    <row r="8" ht="18" customHeight="1">
      <c r="A8" s="5" t="inlineStr">
        <is>
          <t>Per-token energy anchor (tabs 3 &amp; 5)</t>
        </is>
      </c>
    </row>
    <row r="9">
      <c r="A9" s="4" t="inlineStr">
        <is>
          <t>Google's comprehensive 0.24 Wh ÷ 500 tokens = 1.73 J/token, which lines up with the independently-</t>
        </is>
      </c>
    </row>
    <row r="10">
      <c r="A10" s="4" t="inlineStr">
        <is>
          <t>measured ~1.72 J/token marginal decode cost. So 'closed frontier on hyperscaler' ≈ 1.72 J/token, full-stack.</t>
        </is>
      </c>
    </row>
    <row r="11">
      <c r="A11" s="4" t="inlineStr">
        <is>
          <t>Open-weight model factor k = 0.75 comes from the measured GPT-OSS-20B vs Qwen3-32B gap (25.8% lower).</t>
        </is>
      </c>
    </row>
    <row r="13" ht="18" customHeight="1">
      <c r="A13" s="5" t="inlineStr">
        <is>
          <t>Deployment overhead multipliers (tab 5)</t>
        </is>
      </c>
    </row>
    <row r="14">
      <c r="A14" s="4" t="inlineStr">
        <is>
          <t>Mc = 1.00  closed on hyperscaler: reference case, high batch, ~70% GPU utilisation (Epoch's assumption).</t>
        </is>
      </c>
    </row>
    <row r="15">
      <c r="A15" s="4" t="inlineStr">
        <is>
          <t>Mo = 1.15  open on optimised cloud: small penalty for less-tuned serving on shared cloud GPUs.</t>
        </is>
      </c>
    </row>
    <row r="16">
      <c r="A16" s="4" t="inlineStr">
        <is>
          <t>Ms = 3.00  open self-hosted: idle/low-utilisation GPUs still draw power. Analysts note ~10% utilisation can</t>
        </is>
      </c>
    </row>
    <row r="17">
      <c r="A17" s="4" t="inlineStr">
        <is>
          <t xml:space="preserve">           mean ~10x real cost/energy per useful token; 3x is a central, not worst-case, figure.</t>
        </is>
      </c>
    </row>
    <row r="18">
      <c r="A18" s="4" t="inlineStr">
        <is>
          <t>J = induced-demand (Jevons) multiplier: cheaper, freely-hostable models can drive MORE total queries.</t>
        </is>
      </c>
    </row>
    <row r="20" ht="18" customHeight="1">
      <c r="A20" s="5" t="inlineStr">
        <is>
          <t>Scenario formula (tab 5)</t>
        </is>
      </c>
    </row>
    <row r="21">
      <c r="A21" s="4" t="inlineStr">
        <is>
          <t>Aggregate power = P0 × [ (1 − s) + s × J × k × M ]</t>
        </is>
      </c>
    </row>
    <row r="22">
      <c r="A22" s="4" t="inlineStr">
        <is>
          <t xml:space="preserve">  P0 = baseline 2030 US AI inference power, all-closed  (default 25 GW = ~half of Epoch's &gt;50 GW total AI load).</t>
        </is>
      </c>
    </row>
    <row r="23">
      <c r="A23" s="4" t="inlineStr">
        <is>
          <t xml:space="preserve">  s  = share of inference shifted to open weights (0–100%).</t>
        </is>
      </c>
    </row>
    <row r="24">
      <c r="A24" s="4" t="inlineStr">
        <is>
          <t xml:space="preserve">  k  = open-model per-token energy factor (0.75).</t>
        </is>
      </c>
    </row>
    <row r="25">
      <c r="A25" s="4" t="inlineStr">
        <is>
          <t xml:space="preserve">  M  = deployment overhead for the open share (Mo cloud, or Ms self-hosted).</t>
        </is>
      </c>
    </row>
    <row r="26">
      <c r="A26" s="4" t="inlineStr">
        <is>
          <t xml:space="preserve">  J  = induced-demand multiplier (1.0 = none).</t>
        </is>
      </c>
    </row>
    <row r="27">
      <c r="A27" s="4" t="inlineStr">
        <is>
          <t>The (1−s) term stays at closed/hyperscaler efficiency; only the shifted share s carries the open regime.</t>
        </is>
      </c>
    </row>
    <row r="29" ht="18" customHeight="1">
      <c r="A29" s="5" t="inlineStr">
        <is>
          <t>What this model deliberately ignores</t>
        </is>
      </c>
    </row>
    <row r="30">
      <c r="A30" s="4" t="inlineStr">
        <is>
          <t>Training energy (all per-query figures exclude it).</t>
        </is>
      </c>
    </row>
    <row r="31">
      <c r="A31" s="4" t="inlineStr">
        <is>
          <t>Quality differences — open vs closed models may need more/fewer tokens for the same task.</t>
        </is>
      </c>
    </row>
    <row r="32">
      <c r="A32" s="4" t="inlineStr">
        <is>
          <t>Network/storage energy, embodied carbon, water.</t>
        </is>
      </c>
    </row>
    <row r="33">
      <c r="A33" s="4" t="inlineStr">
        <is>
          <t>Region/grid carbon intensity (this is a POWER model, not an emissions model).</t>
        </is>
      </c>
    </row>
    <row r="34">
      <c r="A34" s="4" t="inlineStr">
        <is>
          <t>It is illustrative: the robust output is the DIRECTION and the sensitivity, not a precise GW forecast.</t>
        </is>
      </c>
    </row>
    <row r="36" ht="18" customHeight="1">
      <c r="A36" s="5" t="inlineStr">
        <is>
          <t>Unit conversions</t>
        </is>
      </c>
    </row>
    <row r="37">
      <c r="A37" s="4" t="inlineStr">
        <is>
          <t>1 Wh = 3600 J.   1 TWh = 3.6e15 J.   1 TWh/yr = 0.11416 GW continuous (1e12 Wh / 8760 h / 1e9).</t>
        </is>
      </c>
    </row>
  </sheetData>
  <mergeCells count="32">
    <mergeCell ref="A9:H9"/>
    <mergeCell ref="A30:H30"/>
    <mergeCell ref="A15:H15"/>
    <mergeCell ref="A24:H24"/>
    <mergeCell ref="A36:H36"/>
    <mergeCell ref="A11:H11"/>
    <mergeCell ref="A1:H1"/>
    <mergeCell ref="A6:H6"/>
    <mergeCell ref="A25:H25"/>
    <mergeCell ref="A16:H16"/>
    <mergeCell ref="A37:H37"/>
    <mergeCell ref="A27:H27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0:H10"/>
    <mergeCell ref="A13:H13"/>
    <mergeCell ref="A31:H31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Chart visuals (presentation-ready)</t>
        </is>
      </c>
    </row>
    <row r="2" ht="16" customHeight="1">
      <c r="A2" s="2" t="inlineStr">
        <is>
          <t>The same figures used in the slide deck. The interactive/editable versions live on tabs 1, 2 and 5.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2026-07-19T09:02:41Z</dcterms:created>
  <dcterms:modified xmlns:dcterms="http://purl.org/dc/terms/" xmlns:xsi="http://www.w3.org/2001/XMLSchema-instance" xsi:type="dcterms:W3CDTF">2026-07-19T09:02:41Z</dcterms:modified>
</cp:coreProperties>
</file>